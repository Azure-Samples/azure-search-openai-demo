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card" sheetId="1" state="visible" r:id="rId1"/>
    <sheet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F0F6FF"/>
        <bgColor rgb="00F0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22" customWidth="1" min="5" max="5"/>
    <col width="18" customWidth="1" min="6" max="6"/>
    <col width="14" customWidth="1" min="7" max="7"/>
    <col width="12" customWidth="1" min="8" max="8"/>
  </cols>
  <sheetData>
    <row r="1">
      <c r="A1" s="1" t="inlineStr">
        <is>
          <t>TMCP Scorecard v2.2</t>
        </is>
      </c>
    </row>
    <row r="2">
      <c r="A2" s="2" t="inlineStr">
        <is>
          <t>Process Signals</t>
        </is>
      </c>
    </row>
    <row r="3">
      <c r="A3" s="3" t="inlineStr">
        <is>
          <t>Metric</t>
        </is>
      </c>
      <c r="B3" s="3" t="inlineStr">
        <is>
          <t>Weight</t>
        </is>
      </c>
      <c r="C3" s="3" t="inlineStr">
        <is>
          <t>Value</t>
        </is>
      </c>
      <c r="E3" s="3" t="inlineStr">
        <is>
          <t>Gate</t>
        </is>
      </c>
      <c r="F3" s="3" t="inlineStr">
        <is>
          <t>Value</t>
        </is>
      </c>
      <c r="G3" s="3" t="inlineStr">
        <is>
          <t>Threshold</t>
        </is>
      </c>
      <c r="H3" s="3" t="inlineStr">
        <is>
          <t>Status</t>
        </is>
      </c>
    </row>
    <row r="4">
      <c r="A4" t="inlineStr">
        <is>
          <t>Branch Coverage</t>
        </is>
      </c>
      <c r="B4" t="n">
        <v>0.34</v>
      </c>
      <c r="C4" t="n">
        <v>0.85</v>
      </c>
      <c r="E4" t="inlineStr">
        <is>
          <t>Base ≥ 0.75</t>
        </is>
      </c>
      <c r="F4">
        <f>C20</f>
        <v/>
      </c>
      <c r="G4" t="n">
        <v>0.75</v>
      </c>
      <c r="H4">
        <f>IF(F4&gt;=G4,"PASS","FAIL")</f>
        <v/>
      </c>
    </row>
    <row r="5">
      <c r="A5" t="inlineStr">
        <is>
          <t>Definition of Done</t>
        </is>
      </c>
      <c r="B5" t="n">
        <v>0.33</v>
      </c>
      <c r="C5" t="n">
        <v>0.82</v>
      </c>
      <c r="E5" t="inlineStr">
        <is>
          <t>Q ≥ 1.20</t>
        </is>
      </c>
      <c r="F5">
        <f>C21</f>
        <v/>
      </c>
      <c r="G5" t="n">
        <v>1.2</v>
      </c>
      <c r="H5">
        <f>IF(F5&gt;=G5,"PASS","FAIL")</f>
        <v/>
      </c>
    </row>
    <row r="6">
      <c r="A6" t="inlineStr">
        <is>
          <t>PR Labels</t>
        </is>
      </c>
      <c r="B6" t="n">
        <v>0.33</v>
      </c>
      <c r="C6" t="n">
        <v>0.78</v>
      </c>
      <c r="E6" t="inlineStr">
        <is>
          <t>R* ≥ 0.10</t>
        </is>
      </c>
      <c r="F6">
        <f>C22</f>
        <v/>
      </c>
      <c r="G6" t="n">
        <v>0.1</v>
      </c>
      <c r="H6">
        <f>IF(F6&gt;=G6,"PASS","FAIL")</f>
        <v/>
      </c>
    </row>
    <row r="7">
      <c r="A7" t="inlineStr">
        <is>
          <t>Process (P)</t>
        </is>
      </c>
      <c r="C7">
        <f>SUMPRODUCT(B4:B6,C4:C6)</f>
        <v/>
      </c>
      <c r="E7" t="inlineStr">
        <is>
          <t>Blockers</t>
        </is>
      </c>
      <c r="F7">
        <f>C19</f>
        <v/>
      </c>
      <c r="G7" t="n">
        <v>0</v>
      </c>
      <c r="H7">
        <f>IF(F7&lt;=G7,"PASS","FAIL")</f>
        <v/>
      </c>
    </row>
    <row r="8">
      <c r="A8" s="2" t="inlineStr">
        <is>
          <t>Architecture Signals</t>
        </is>
      </c>
      <c r="E8" t="inlineStr">
        <is>
          <t>Verdict</t>
        </is>
      </c>
      <c r="F8">
        <f>IF(COUNTIF(H4:H7,"FAIL")=0,"APPROVE","REJECT")</f>
        <v/>
      </c>
    </row>
    <row r="9">
      <c r="A9" s="3" t="inlineStr">
        <is>
          <t>Metric</t>
        </is>
      </c>
      <c r="B9" s="3" t="inlineStr">
        <is>
          <t>Weight</t>
        </is>
      </c>
      <c r="C9" s="3" t="inlineStr">
        <is>
          <t>Value</t>
        </is>
      </c>
    </row>
    <row r="10">
      <c r="A10" t="inlineStr">
        <is>
          <t>Security Scans</t>
        </is>
      </c>
      <c r="B10" t="n">
        <v>0.4</v>
      </c>
      <c r="C10" t="n">
        <v>0.88</v>
      </c>
    </row>
    <row r="11">
      <c r="A11" t="inlineStr">
        <is>
          <t>Low-Risk Ratio</t>
        </is>
      </c>
      <c r="B11" t="n">
        <v>0.2</v>
      </c>
      <c r="C11" t="n">
        <v>0.74</v>
      </c>
    </row>
    <row r="12">
      <c r="A12" t="inlineStr">
        <is>
          <t>Tests + Coverage</t>
        </is>
      </c>
      <c r="B12" t="n">
        <v>0.4</v>
      </c>
      <c r="C12" t="n">
        <v>0.86</v>
      </c>
    </row>
    <row r="13">
      <c r="A13" t="inlineStr">
        <is>
          <t>Architecture (A)</t>
        </is>
      </c>
      <c r="C13">
        <f>SUMPRODUCT(B10:B12,C10:C12)</f>
        <v/>
      </c>
    </row>
    <row r="15">
      <c r="A15" t="inlineStr">
        <is>
          <t>Quality Slack (Qs)</t>
        </is>
      </c>
      <c r="C15" t="n">
        <v>0.2</v>
      </c>
    </row>
    <row r="16">
      <c r="A16" t="inlineStr">
        <is>
          <t>Non-Blocker Score (NBS)</t>
        </is>
      </c>
      <c r="C16" t="n">
        <v>6</v>
      </c>
    </row>
    <row r="17">
      <c r="A17" t="inlineStr">
        <is>
          <t>CAP</t>
        </is>
      </c>
      <c r="C17" t="n">
        <v>20</v>
      </c>
    </row>
    <row r="18">
      <c r="A18" t="inlineStr">
        <is>
          <t>κ (Blocker Impact)</t>
        </is>
      </c>
      <c r="C18" t="n">
        <v>1</v>
      </c>
    </row>
    <row r="19">
      <c r="A19" t="inlineStr">
        <is>
          <t>Blockers</t>
        </is>
      </c>
      <c r="C19" t="n">
        <v>0</v>
      </c>
    </row>
    <row r="20">
      <c r="A20" t="inlineStr">
        <is>
          <t>Base (P×A)</t>
        </is>
      </c>
      <c r="C20">
        <f>C7*C13</f>
        <v/>
      </c>
    </row>
    <row r="21">
      <c r="A21" t="inlineStr">
        <is>
          <t>Q</t>
        </is>
      </c>
      <c r="C21">
        <f>1+C15</f>
        <v/>
      </c>
    </row>
    <row r="22">
      <c r="A22" t="inlineStr">
        <is>
          <t>R*</t>
        </is>
      </c>
      <c r="C22">
        <f>(C20^C21)-(C16/C17)-(C18*C19)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4" max="4"/>
  </cols>
  <sheetData>
    <row r="1">
      <c r="A1" s="3" t="inlineStr">
        <is>
          <t>Severity Weights</t>
        </is>
      </c>
      <c r="B1" s="3" t="n"/>
    </row>
    <row r="2">
      <c r="A2" t="inlineStr">
        <is>
          <t>critical</t>
        </is>
      </c>
      <c r="B2" t="n">
        <v>5</v>
      </c>
      <c r="D2" t="inlineStr">
        <is>
          <t>Formula</t>
        </is>
      </c>
    </row>
    <row r="3">
      <c r="A3" t="inlineStr">
        <is>
          <t>high</t>
        </is>
      </c>
      <c r="B3" t="n">
        <v>3</v>
      </c>
      <c r="D3" t="inlineStr">
        <is>
          <t>R* = (P × A)^Q − (NBS / CAP) − κ · Blockers</t>
        </is>
      </c>
    </row>
    <row r="4">
      <c r="A4" t="inlineStr">
        <is>
          <t>medium</t>
        </is>
      </c>
      <c r="B4" t="n">
        <v>1.5</v>
      </c>
    </row>
    <row r="5">
      <c r="A5" t="inlineStr">
        <is>
          <t>low</t>
        </is>
      </c>
      <c r="B5" t="n">
        <v>1</v>
      </c>
      <c r="D5" t="inlineStr">
        <is>
          <t>Usage</t>
        </is>
      </c>
    </row>
    <row r="6">
      <c r="A6" t="inlineStr">
        <is>
          <t>info</t>
        </is>
      </c>
      <c r="B6" t="n">
        <v>0.5</v>
      </c>
      <c r="D6" t="inlineStr">
        <is>
          <t>Use the Scenarios sheet to compare what-if inputs.</t>
        </is>
      </c>
    </row>
    <row r="7">
      <c r="D7" t="inlineStr">
        <is>
          <t>Link</t>
        </is>
      </c>
    </row>
    <row r="8">
      <c r="D8" t="inlineStr">
        <is>
          <t>docs/tmcp/TMCP_Scenario_Calculator.xlsx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2025-12-26T03:33:06Z</dcterms:created>
  <dcterms:modified xsi:type="dcterms:W3CDTF">2025-12-26T03:33:06Z</dcterms:modified>
</cp:coreProperties>
</file>