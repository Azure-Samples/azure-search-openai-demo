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6FF"/>
        <bgColor rgb="00F0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3"/>
  <chart>
    <title>
      <tx>
        <rich>
          <a:bodyPr/>
          <a:p>
            <a:pPr>
              <a:defRPr/>
            </a:pPr>
            <a:r>
              <a:t>Scenario R* Trend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'Scenarios'!$A$2:$A$6</f>
            </numRef>
          </cat>
          <val>
            <numRef>
              <f>'Scenarios'!$H$2:$H$6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R*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Metric</t>
        </is>
      </c>
      <c r="B1" s="1" t="inlineStr">
        <is>
          <t>Value</t>
        </is>
      </c>
      <c r="D1" s="1" t="inlineStr">
        <is>
          <t>Gate</t>
        </is>
      </c>
      <c r="E1" s="1" t="inlineStr">
        <is>
          <t>Threshold</t>
        </is>
      </c>
      <c r="F1" s="1" t="inlineStr">
        <is>
          <t>Value</t>
        </is>
      </c>
      <c r="G1" s="1" t="inlineStr">
        <is>
          <t>Status</t>
        </is>
      </c>
    </row>
    <row r="2">
      <c r="A2" t="inlineStr">
        <is>
          <t>Process (P)</t>
        </is>
      </c>
      <c r="B2" t="n">
        <v>0.84</v>
      </c>
      <c r="D2" t="inlineStr">
        <is>
          <t>Base ≥ 0.75</t>
        </is>
      </c>
      <c r="E2" t="n">
        <v>0.75</v>
      </c>
      <c r="F2">
        <f>B10</f>
        <v/>
      </c>
      <c r="G2">
        <f>IF(F2&gt;=E2,"PASS","FAIL")</f>
        <v/>
      </c>
    </row>
    <row r="3">
      <c r="A3" t="inlineStr">
        <is>
          <t>Architecture (A)</t>
        </is>
      </c>
      <c r="B3" t="n">
        <v>0.88</v>
      </c>
      <c r="D3" t="inlineStr">
        <is>
          <t>Q ≥ 1.20</t>
        </is>
      </c>
      <c r="E3" t="n">
        <v>1.2</v>
      </c>
      <c r="F3">
        <f>B5</f>
        <v/>
      </c>
      <c r="G3">
        <f>IF(F3&gt;=E3,"PASS","FAIL")</f>
        <v/>
      </c>
    </row>
    <row r="4">
      <c r="A4" t="inlineStr">
        <is>
          <t>Quality Slack (Qs)</t>
        </is>
      </c>
      <c r="B4" t="n">
        <v>0.2</v>
      </c>
      <c r="D4" t="inlineStr">
        <is>
          <t>R* ≥ 0.10</t>
        </is>
      </c>
      <c r="E4" t="n">
        <v>0.1</v>
      </c>
      <c r="F4">
        <f>B11</f>
        <v/>
      </c>
      <c r="G4">
        <f>IF(F4&gt;=E4,"PASS","FAIL")</f>
        <v/>
      </c>
    </row>
    <row r="5">
      <c r="A5" t="inlineStr">
        <is>
          <t>Q</t>
        </is>
      </c>
      <c r="B5">
        <f>1+B4</f>
        <v/>
      </c>
      <c r="D5" t="inlineStr">
        <is>
          <t>Blockers</t>
        </is>
      </c>
      <c r="E5" t="n">
        <v>0</v>
      </c>
      <c r="F5">
        <f>B9</f>
        <v/>
      </c>
      <c r="G5">
        <f>IF(F5&lt;=E5,"PASS","FAIL")</f>
        <v/>
      </c>
    </row>
    <row r="6">
      <c r="A6" t="inlineStr">
        <is>
          <t>Non-Blocker Score</t>
        </is>
      </c>
      <c r="B6" t="n">
        <v>6</v>
      </c>
    </row>
    <row r="7">
      <c r="A7" t="inlineStr">
        <is>
          <t>CAP</t>
        </is>
      </c>
      <c r="B7" t="n">
        <v>20</v>
      </c>
    </row>
    <row r="8">
      <c r="A8" t="inlineStr">
        <is>
          <t>κ (Blocker Impact)</t>
        </is>
      </c>
      <c r="B8" t="n">
        <v>1</v>
      </c>
    </row>
    <row r="9">
      <c r="A9" t="inlineStr">
        <is>
          <t>Blockers</t>
        </is>
      </c>
      <c r="B9" t="n">
        <v>0</v>
      </c>
    </row>
    <row r="10">
      <c r="A10" t="inlineStr">
        <is>
          <t>Base</t>
        </is>
      </c>
      <c r="B10">
        <f>B2*B3</f>
        <v/>
      </c>
    </row>
    <row r="11">
      <c r="A11" t="inlineStr">
        <is>
          <t>R*</t>
        </is>
      </c>
      <c r="B11">
        <f>(B10^B5)-(B6/B7)-(B8*B9)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Scenario</t>
        </is>
      </c>
      <c r="B1" s="1" t="inlineStr">
        <is>
          <t>Process (P)</t>
        </is>
      </c>
      <c r="C1" s="1" t="inlineStr">
        <is>
          <t>Architecture (A)</t>
        </is>
      </c>
      <c r="D1" s="1" t="inlineStr">
        <is>
          <t>Qs</t>
        </is>
      </c>
      <c r="E1" s="1" t="inlineStr">
        <is>
          <t>Q</t>
        </is>
      </c>
      <c r="F1" s="1" t="inlineStr">
        <is>
          <t>NBS</t>
        </is>
      </c>
      <c r="G1" s="1" t="inlineStr">
        <is>
          <t>Blockers</t>
        </is>
      </c>
      <c r="H1" s="1" t="inlineStr">
        <is>
          <t>R*</t>
        </is>
      </c>
    </row>
    <row r="2">
      <c r="A2" t="inlineStr">
        <is>
          <t>Legacy Ops</t>
        </is>
      </c>
      <c r="B2" t="n">
        <v>0.58</v>
      </c>
      <c r="C2" t="n">
        <v>0.55</v>
      </c>
      <c r="D2" t="n">
        <v>0.05</v>
      </c>
      <c r="E2">
        <f>1+D2</f>
        <v/>
      </c>
      <c r="F2" t="n">
        <v>12</v>
      </c>
      <c r="G2" t="n">
        <v>1</v>
      </c>
      <c r="H2">
        <f>((B2*C2)^E2)-(F2/B7)-(G2*B8)</f>
        <v/>
      </c>
    </row>
    <row r="3">
      <c r="A3" t="inlineStr">
        <is>
          <t>Stabilizing</t>
        </is>
      </c>
      <c r="B3" t="n">
        <v>0.72</v>
      </c>
      <c r="C3" t="n">
        <v>0.7</v>
      </c>
      <c r="D3" t="n">
        <v>0.12</v>
      </c>
      <c r="E3">
        <f>1+D3</f>
        <v/>
      </c>
      <c r="F3" t="n">
        <v>9</v>
      </c>
      <c r="G3" t="n">
        <v>0</v>
      </c>
      <c r="H3">
        <f>((B3*C3)^E3)-(F3/B7)-(G3*B8)</f>
        <v/>
      </c>
    </row>
    <row r="4">
      <c r="A4" t="inlineStr">
        <is>
          <t>Balanced</t>
        </is>
      </c>
      <c r="B4" t="n">
        <v>0.83</v>
      </c>
      <c r="C4" t="n">
        <v>0.86</v>
      </c>
      <c r="D4" t="n">
        <v>0.18</v>
      </c>
      <c r="E4">
        <f>1+D4</f>
        <v/>
      </c>
      <c r="F4" t="n">
        <v>6</v>
      </c>
      <c r="G4" t="n">
        <v>0</v>
      </c>
      <c r="H4">
        <f>((B4*C4)^E4)-(F4/B7)-(G4*B8)</f>
        <v/>
      </c>
    </row>
    <row r="5">
      <c r="A5" t="inlineStr">
        <is>
          <t>A11y Push</t>
        </is>
      </c>
      <c r="B5" t="n">
        <v>0.79</v>
      </c>
      <c r="C5" t="n">
        <v>0.9</v>
      </c>
      <c r="D5" t="n">
        <v>0.22</v>
      </c>
      <c r="E5">
        <f>1+D5</f>
        <v/>
      </c>
      <c r="F5" t="n">
        <v>5</v>
      </c>
      <c r="G5" t="n">
        <v>0</v>
      </c>
      <c r="H5">
        <f>((B5*C5)^E5)-(F5/B7)-(G5*B8)</f>
        <v/>
      </c>
    </row>
    <row r="6">
      <c r="A6" t="inlineStr">
        <is>
          <t>Hardening</t>
        </is>
      </c>
      <c r="B6" t="n">
        <v>0.9</v>
      </c>
      <c r="C6" t="n">
        <v>0.9399999999999999</v>
      </c>
      <c r="D6" t="n">
        <v>0.28</v>
      </c>
      <c r="E6">
        <f>1+D6</f>
        <v/>
      </c>
      <c r="F6" t="n">
        <v>3</v>
      </c>
      <c r="G6" t="n">
        <v>0</v>
      </c>
      <c r="H6">
        <f>((B6*C6)^E6)-(F6/B7)-(G6*B8)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2025-12-26T03:33:06Z</dcterms:created>
  <dcterms:modified xsi:type="dcterms:W3CDTF">2025-12-26T03:33:06Z</dcterms:modified>
</cp:coreProperties>
</file>